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/>
  <mc:AlternateContent xmlns:mc="http://schemas.openxmlformats.org/markup-compatibility/2006">
    <mc:Choice Requires="x15">
      <x15ac:absPath xmlns:x15ac="http://schemas.microsoft.com/office/spreadsheetml/2010/11/ac" url="/Users/madhu/Documents/KiCad/10.0/Keeb/BOM/"/>
    </mc:Choice>
  </mc:AlternateContent>
  <xr:revisionPtr revIDLastSave="0" documentId="13_ncr:1_{D9AB1068-F1B5-4B48-AFA4-DBAD6D6229FA}" xr6:coauthVersionLast="47" xr6:coauthVersionMax="47" xr10:uidLastSave="{00000000-0000-0000-0000-000000000000}"/>
  <bookViews>
    <workbookView xWindow="0" yWindow="600" windowWidth="44800" windowHeight="21460" tabRatio="50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H2" i="1" l="1"/>
  <c r="F2" i="1"/>
  <c r="I2" i="1" s="1"/>
  <c r="H10" i="1"/>
  <c r="F10" i="1"/>
  <c r="I10" i="1" s="1"/>
  <c r="H9" i="1"/>
  <c r="F9" i="1"/>
  <c r="I9" i="1" s="1"/>
  <c r="H8" i="1"/>
  <c r="F8" i="1"/>
  <c r="I8" i="1" s="1"/>
  <c r="H7" i="1"/>
  <c r="F7" i="1"/>
  <c r="I7" i="1" s="1"/>
  <c r="H6" i="1"/>
  <c r="F6" i="1"/>
  <c r="I6" i="1" s="1"/>
  <c r="H5" i="1"/>
  <c r="F5" i="1"/>
  <c r="I5" i="1" s="1"/>
  <c r="H4" i="1"/>
  <c r="F4" i="1"/>
  <c r="I4" i="1" s="1"/>
  <c r="H3" i="1"/>
  <c r="F3" i="1"/>
  <c r="I3" i="1" s="1"/>
  <c r="G2" i="1" l="1"/>
  <c r="G3" i="1"/>
  <c r="G4" i="1" s="1"/>
  <c r="G5" i="1" s="1"/>
  <c r="J2" i="1"/>
  <c r="J3" i="1" l="1"/>
  <c r="J4" i="1" l="1"/>
  <c r="J5" i="1" l="1"/>
  <c r="G6" i="1"/>
  <c r="G7" i="1" s="1"/>
  <c r="J6" i="1" l="1"/>
  <c r="J7" i="1" l="1"/>
  <c r="G8" i="1"/>
  <c r="G9" i="1" s="1"/>
  <c r="G10" i="1" s="1"/>
  <c r="J10" i="1" s="1"/>
  <c r="J9" i="1" l="1"/>
  <c r="J8" i="1"/>
</calcChain>
</file>

<file path=xl/sharedStrings.xml><?xml version="1.0" encoding="utf-8"?>
<sst xmlns="http://schemas.openxmlformats.org/spreadsheetml/2006/main" count="38" uniqueCount="38">
  <si>
    <t>SI No.</t>
  </si>
  <si>
    <t>Name</t>
  </si>
  <si>
    <t>Notes</t>
  </si>
  <si>
    <t>Quantity</t>
  </si>
  <si>
    <t>Price Per Unit</t>
  </si>
  <si>
    <t>Total</t>
  </si>
  <si>
    <t>Running Total</t>
  </si>
  <si>
    <t>Price/Unit(USD)</t>
  </si>
  <si>
    <t>Total (USD)</t>
  </si>
  <si>
    <t>Running Total (USD)</t>
  </si>
  <si>
    <t>Link</t>
  </si>
  <si>
    <t>Keygeek x MZ Y1 Keyboard Switch (Pack of 10)</t>
  </si>
  <si>
    <t>Durock Clear Screw-In Stabilizers V2</t>
  </si>
  <si>
    <t>Gateron Hotswap Sockets</t>
  </si>
  <si>
    <t>Hotswap Sockets</t>
  </si>
  <si>
    <t>Keycaps</t>
  </si>
  <si>
    <t>Pico</t>
  </si>
  <si>
    <t>MCU</t>
  </si>
  <si>
    <t>Diodes</t>
  </si>
  <si>
    <t>MX-compatible Switches</t>
  </si>
  <si>
    <t>M3, pack of 5</t>
  </si>
  <si>
    <t>Switch</t>
  </si>
  <si>
    <t>Stabs</t>
  </si>
  <si>
    <t>Heat Set Inset</t>
  </si>
  <si>
    <t>Screws</t>
  </si>
  <si>
    <t>Pack of 100, TH</t>
  </si>
  <si>
    <t>1N4148 Diodes</t>
  </si>
  <si>
    <t>Hotswap Switches</t>
  </si>
  <si>
    <t>Screw-in stabilisers</t>
  </si>
  <si>
    <t>PCB (manufactured by Robu)</t>
  </si>
  <si>
    <t>PCB_Robu</t>
  </si>
  <si>
    <t>Raspberry Pi Pico</t>
  </si>
  <si>
    <t>Heat Set Threaded Round Female Insert Nut</t>
  </si>
  <si>
    <t xml:space="preserve">Philips Head Nuts &amp; Bolts Set </t>
  </si>
  <si>
    <t>M3, pack of 10</t>
  </si>
  <si>
    <t>Blank White Cherry Profile Keycaps</t>
  </si>
  <si>
    <t>For later customization</t>
  </si>
  <si>
    <t>5 is the min. order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</si>
</sst>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charset val="1"/>
    </font>
    <font>
      <sz val="11"/>
      <color theme="1"/>
      <name val="Arial"/>
      <family val="2"/>
    </font>
    <font>
      <b/>
      <sz val="12"/>
      <color theme="0"/>
      <name val="Arial"/>
      <family val="2"/>
      <scheme val="minor"/>
    </font>
    <font>
      <sz val="10"/>
      <color rgb="FF000000"/>
      <name val="Arial"/>
      <family val="2"/>
    </font>
    <font>
      <u/>
      <sz val="10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3">
    <xf numFmtId="0" fontId="0" fillId="0" borderId="0"/>
    <xf numFmtId="0" fontId="2" fillId="2" borderId="1" applyNumberFormat="0" applyAlignment="0" applyProtection="0"/>
    <xf numFmtId="0" fontId="4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2"/>
  </cellXfs>
  <cellStyles count="3">
    <cellStyle name="Check Cell" xfId="1" builtinId="23" hidden="1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tackskb.com/store/stackspbt-blank-white-cherry-profile-keycaps-113-key/" TargetMode="External"/><Relationship Id="rId3" Type="http://schemas.openxmlformats.org/officeDocument/2006/relationships/hyperlink" Target="http://stackskb.com/store/gateron-hotswap-sockets/" TargetMode="External"/><Relationship Id="rId7" Type="http://schemas.openxmlformats.org/officeDocument/2006/relationships/hyperlink" Target="https://makerbazar.in/products/philips-head-nuts-bolts-set-silver-plated-pack-of-10?variant=43604554383600" TargetMode="External"/><Relationship Id="rId2" Type="http://schemas.openxmlformats.org/officeDocument/2006/relationships/hyperlink" Target="http://stackskb.com/store/durock-clear-screw-in-stabilizers-v2/" TargetMode="External"/><Relationship Id="rId1" Type="http://schemas.openxmlformats.org/officeDocument/2006/relationships/hyperlink" Target="http://stackskb.com/store/keygeek-y1-keyboard-switch/" TargetMode="External"/><Relationship Id="rId6" Type="http://schemas.openxmlformats.org/officeDocument/2006/relationships/hyperlink" Target="https://makerbazar.in/products/brass-heat-set-threaded-round-female-insert-nut?variant=48339035554032" TargetMode="External"/><Relationship Id="rId5" Type="http://schemas.openxmlformats.org/officeDocument/2006/relationships/hyperlink" Target="https://robu.in/product/raspberry-pi-pico/?gad_source=4&amp;gad_campaignid=19974686076&amp;gbraid=0AAAAADvLFWdAl5Wi83k9ojkIRV64IGicN&amp;gclid=Cj0KCQjw2OnUBhC2ARIsACKyfaE3Ny_Zh17xOpxe-m0kUq52dTaldignAKoolyYla7WaLtCoqZ6H4d4aAi2KEALw_wcB" TargetMode="External"/><Relationship Id="rId4" Type="http://schemas.openxmlformats.org/officeDocument/2006/relationships/hyperlink" Target="https://www.flipkart.com/elph-zener-diode-1n4148-pieces-100-electronic-components-hobby-kit/p/itmff7b2uhf4yng4" TargetMode="External"/><Relationship Id="rId9" Type="http://schemas.openxmlformats.org/officeDocument/2006/relationships/hyperlink" Target="https://github.com/a-hungrybookworm/outta-ctrl/blob/main/BOM/PCB%20Order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K24"/>
  <sheetViews>
    <sheetView tabSelected="1" zoomScale="176" zoomScaleNormal="176" workbookViewId="0">
      <selection activeCell="C13" sqref="C13"/>
    </sheetView>
  </sheetViews>
  <sheetFormatPr baseColWidth="10" defaultColWidth="12.6640625" defaultRowHeight="15.75" customHeight="1" x14ac:dyDescent="0.15"/>
  <cols>
    <col min="1" max="1" width="14.33203125" customWidth="1"/>
    <col min="2" max="2" width="38.1640625" customWidth="1"/>
    <col min="3" max="3" width="26.6640625" customWidth="1"/>
    <col min="8" max="11" width="19.6640625" customWidth="1"/>
  </cols>
  <sheetData>
    <row r="1" spans="1:11" ht="15.75" customHeight="1" x14ac:dyDescent="0.1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5.75" customHeight="1" x14ac:dyDescent="0.15">
      <c r="A2" s="1">
        <v>1</v>
      </c>
      <c r="B2" t="s">
        <v>11</v>
      </c>
      <c r="C2" t="s">
        <v>19</v>
      </c>
      <c r="D2">
        <v>7</v>
      </c>
      <c r="E2">
        <v>300</v>
      </c>
      <c r="F2">
        <f>D2*E2</f>
        <v>2100</v>
      </c>
      <c r="G2">
        <f>F2</f>
        <v>2100</v>
      </c>
      <c r="H2">
        <f>ROUND(E2/95, 2)</f>
        <v>3.16</v>
      </c>
      <c r="I2">
        <f>ROUND(F2/95,2)</f>
        <v>22.11</v>
      </c>
      <c r="J2">
        <f t="shared" ref="J2:J6" si="0">ROUND(G2/95,2)</f>
        <v>22.11</v>
      </c>
      <c r="K2" s="3" t="s">
        <v>21</v>
      </c>
    </row>
    <row r="3" spans="1:11" ht="15.75" customHeight="1" x14ac:dyDescent="0.15">
      <c r="A3" s="1">
        <v>2</v>
      </c>
      <c r="B3" s="2" t="s">
        <v>29</v>
      </c>
      <c r="C3" s="2" t="s">
        <v>37</v>
      </c>
      <c r="D3">
        <v>5</v>
      </c>
      <c r="E3">
        <v>1062</v>
      </c>
      <c r="F3">
        <f t="shared" ref="F3:F6" si="1">D3*E3</f>
        <v>5310</v>
      </c>
      <c r="G3">
        <f>G2+F3</f>
        <v>7410</v>
      </c>
      <c r="H3">
        <f t="shared" ref="H3:H6" si="2">ROUND(E3/95, 2)</f>
        <v>11.18</v>
      </c>
      <c r="I3">
        <f t="shared" ref="I3:I6" si="3">ROUND(F3/95,2)</f>
        <v>55.89</v>
      </c>
      <c r="J3">
        <f t="shared" si="0"/>
        <v>78</v>
      </c>
      <c r="K3" s="3" t="s">
        <v>30</v>
      </c>
    </row>
    <row r="4" spans="1:11" ht="15.75" customHeight="1" x14ac:dyDescent="0.15">
      <c r="A4">
        <v>3</v>
      </c>
      <c r="B4" t="s">
        <v>12</v>
      </c>
      <c r="C4" s="2" t="s">
        <v>28</v>
      </c>
      <c r="D4">
        <v>1</v>
      </c>
      <c r="E4">
        <v>1650</v>
      </c>
      <c r="F4">
        <f t="shared" si="1"/>
        <v>1650</v>
      </c>
      <c r="G4">
        <f>G3+F4</f>
        <v>9060</v>
      </c>
      <c r="H4">
        <f t="shared" si="2"/>
        <v>17.37</v>
      </c>
      <c r="I4">
        <f t="shared" si="3"/>
        <v>17.37</v>
      </c>
      <c r="J4">
        <f t="shared" si="0"/>
        <v>95.37</v>
      </c>
      <c r="K4" s="3" t="s">
        <v>22</v>
      </c>
    </row>
    <row r="5" spans="1:11" ht="15.75" customHeight="1" x14ac:dyDescent="0.15">
      <c r="A5" s="1">
        <v>4</v>
      </c>
      <c r="B5" t="s">
        <v>13</v>
      </c>
      <c r="C5" t="s">
        <v>14</v>
      </c>
      <c r="D5">
        <v>64</v>
      </c>
      <c r="E5">
        <v>10</v>
      </c>
      <c r="F5">
        <f t="shared" si="1"/>
        <v>640</v>
      </c>
      <c r="G5">
        <f>G4+F5</f>
        <v>9700</v>
      </c>
      <c r="H5">
        <f t="shared" si="2"/>
        <v>0.11</v>
      </c>
      <c r="I5">
        <f t="shared" si="3"/>
        <v>6.74</v>
      </c>
      <c r="J5">
        <f t="shared" si="0"/>
        <v>102.11</v>
      </c>
      <c r="K5" s="3" t="s">
        <v>27</v>
      </c>
    </row>
    <row r="6" spans="1:11" ht="15.75" customHeight="1" x14ac:dyDescent="0.15">
      <c r="A6" s="1">
        <v>5</v>
      </c>
      <c r="B6" s="2" t="s">
        <v>26</v>
      </c>
      <c r="C6" s="2" t="s">
        <v>25</v>
      </c>
      <c r="D6">
        <v>1</v>
      </c>
      <c r="E6">
        <v>180</v>
      </c>
      <c r="F6">
        <f t="shared" si="1"/>
        <v>180</v>
      </c>
      <c r="G6">
        <f t="shared" ref="G6" si="4">G5+F6</f>
        <v>9880</v>
      </c>
      <c r="H6">
        <f t="shared" si="2"/>
        <v>1.89</v>
      </c>
      <c r="I6">
        <f t="shared" si="3"/>
        <v>1.89</v>
      </c>
      <c r="J6">
        <f t="shared" si="0"/>
        <v>104</v>
      </c>
      <c r="K6" s="3" t="s">
        <v>18</v>
      </c>
    </row>
    <row r="7" spans="1:11" ht="15.75" customHeight="1" x14ac:dyDescent="0.15">
      <c r="A7">
        <v>6</v>
      </c>
      <c r="B7" s="2" t="s">
        <v>31</v>
      </c>
      <c r="C7" t="s">
        <v>17</v>
      </c>
      <c r="D7">
        <v>1</v>
      </c>
      <c r="E7">
        <v>384</v>
      </c>
      <c r="F7">
        <f>D7*E7</f>
        <v>384</v>
      </c>
      <c r="G7">
        <f>G6+F7</f>
        <v>10264</v>
      </c>
      <c r="H7">
        <f>ROUND(E7/95, 2)</f>
        <v>4.04</v>
      </c>
      <c r="I7">
        <f t="shared" ref="I7:J10" si="5">ROUND(F7/95,2)</f>
        <v>4.04</v>
      </c>
      <c r="J7">
        <f t="shared" si="5"/>
        <v>108.04</v>
      </c>
      <c r="K7" s="3" t="s">
        <v>16</v>
      </c>
    </row>
    <row r="8" spans="1:11" ht="15.75" customHeight="1" x14ac:dyDescent="0.15">
      <c r="A8" s="1">
        <v>7</v>
      </c>
      <c r="B8" s="2" t="s">
        <v>32</v>
      </c>
      <c r="C8" t="s">
        <v>20</v>
      </c>
      <c r="D8">
        <v>2</v>
      </c>
      <c r="E8">
        <v>15</v>
      </c>
      <c r="F8">
        <f>D8*E8</f>
        <v>30</v>
      </c>
      <c r="G8">
        <f>G7+F8</f>
        <v>10294</v>
      </c>
      <c r="H8">
        <f>ROUND(E8/95, 2)</f>
        <v>0.16</v>
      </c>
      <c r="I8">
        <f t="shared" si="5"/>
        <v>0.32</v>
      </c>
      <c r="J8">
        <f t="shared" si="5"/>
        <v>108.36</v>
      </c>
      <c r="K8" s="3" t="s">
        <v>23</v>
      </c>
    </row>
    <row r="9" spans="1:11" ht="15.75" customHeight="1" x14ac:dyDescent="0.15">
      <c r="A9" s="1">
        <v>8</v>
      </c>
      <c r="B9" s="2" t="s">
        <v>33</v>
      </c>
      <c r="C9" s="2" t="s">
        <v>34</v>
      </c>
      <c r="D9">
        <v>1</v>
      </c>
      <c r="E9">
        <v>25</v>
      </c>
      <c r="F9">
        <f>D9*E9</f>
        <v>25</v>
      </c>
      <c r="G9">
        <f>G8+F9</f>
        <v>10319</v>
      </c>
      <c r="H9">
        <f>ROUND(E9/95, 2)</f>
        <v>0.26</v>
      </c>
      <c r="I9">
        <f t="shared" si="5"/>
        <v>0.26</v>
      </c>
      <c r="J9">
        <f t="shared" si="5"/>
        <v>108.62</v>
      </c>
      <c r="K9" s="3" t="s">
        <v>24</v>
      </c>
    </row>
    <row r="10" spans="1:11" ht="15.75" customHeight="1" x14ac:dyDescent="0.15">
      <c r="A10">
        <v>9</v>
      </c>
      <c r="B10" s="2" t="s">
        <v>35</v>
      </c>
      <c r="C10" s="2" t="s">
        <v>36</v>
      </c>
      <c r="D10">
        <v>1</v>
      </c>
      <c r="E10">
        <v>1000</v>
      </c>
      <c r="F10">
        <f>D10*E10</f>
        <v>1000</v>
      </c>
      <c r="G10">
        <f>G9+F10</f>
        <v>11319</v>
      </c>
      <c r="H10">
        <f>ROUND(E10/95, 2)</f>
        <v>10.53</v>
      </c>
      <c r="I10">
        <f t="shared" si="5"/>
        <v>10.53</v>
      </c>
      <c r="J10">
        <f t="shared" si="5"/>
        <v>119.15</v>
      </c>
      <c r="K10" s="3" t="s">
        <v>15</v>
      </c>
    </row>
    <row r="12" spans="1:11" ht="15.75" customHeight="1" x14ac:dyDescent="0.15">
      <c r="B12" s="2"/>
      <c r="C12" s="2"/>
      <c r="K12" s="3"/>
    </row>
    <row r="15" spans="1:11" ht="14" customHeight="1" x14ac:dyDescent="0.15"/>
    <row r="17" spans="2:11" ht="15.75" customHeight="1" x14ac:dyDescent="0.15">
      <c r="B17" s="2"/>
    </row>
    <row r="18" spans="2:11" ht="15.75" customHeight="1" x14ac:dyDescent="0.15">
      <c r="B18" s="2"/>
      <c r="K18" s="3"/>
    </row>
    <row r="19" spans="2:11" ht="15.75" customHeight="1" x14ac:dyDescent="0.15">
      <c r="B19" s="2"/>
    </row>
    <row r="20" spans="2:11" ht="15.75" customHeight="1" x14ac:dyDescent="0.15">
      <c r="B20" s="2"/>
    </row>
    <row r="21" spans="2:11" ht="15.75" customHeight="1" x14ac:dyDescent="0.15">
      <c r="B21" s="2"/>
      <c r="C21" s="2"/>
    </row>
    <row r="24" spans="2:11" ht="15.75" customHeight="1" x14ac:dyDescent="0.15">
      <c r="F24" s="2"/>
      <c r="G24" s="2"/>
    </row>
  </sheetData>
  <hyperlinks>
    <hyperlink ref="K2" r:id="rId1" xr:uid="{27F49F1F-01C5-E54D-8358-0E1803586152}"/>
    <hyperlink ref="K4" r:id="rId2" xr:uid="{DEC34131-39ED-EF4C-B2A9-034AB012BA43}"/>
    <hyperlink ref="K5" r:id="rId3" xr:uid="{AB9D3AA9-A372-D14D-A471-9CABAA8DA564}"/>
    <hyperlink ref="K6" r:id="rId4" xr:uid="{C8369EB6-73E2-004B-BC6C-C7E05CC90CB3}"/>
    <hyperlink ref="K7" r:id="rId5" xr:uid="{C8A5AD24-8736-1F49-9E5D-EE5978B0A152}"/>
    <hyperlink ref="K8" r:id="rId6" xr:uid="{CF30E556-D323-8545-9DDB-D7F0E43494E1}"/>
    <hyperlink ref="K9" r:id="rId7" xr:uid="{D70CEBA0-8C93-B047-90B1-7B1C1B7CC946}"/>
    <hyperlink ref="K10" r:id="rId8" xr:uid="{035B301E-0F70-5F4E-9174-DCE8A9A070E6}"/>
    <hyperlink ref="K3" r:id="rId9" xr:uid="{E36E5E2A-EDC4-614C-A6CA-E158EB392FDF}"/>
  </hyperlinks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Microsoft Office User</cp:lastModifiedBy>
  <cp:revision>1</cp:revision>
  <dcterms:modified xsi:type="dcterms:W3CDTF">2026-09-09T13:25:31Z</dcterms:modified>
  <dc:language>en-IN</dc:language>
</cp:coreProperties>
</file>